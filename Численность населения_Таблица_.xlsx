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ВСМ\Научная оценка масса пассажира\"/>
    </mc:Choice>
  </mc:AlternateContent>
  <bookViews>
    <workbookView xWindow="0" yWindow="0" windowWidth="28800" windowHeight="12012"/>
  </bookViews>
  <sheets>
    <sheet name="Таблица" sheetId="1" r:id="rId1"/>
  </sheets>
  <calcPr calcId="162913"/>
</workbook>
</file>

<file path=xl/calcChain.xml><?xml version="1.0" encoding="utf-8"?>
<calcChain xmlns="http://schemas.openxmlformats.org/spreadsheetml/2006/main">
  <c r="C24" i="1" l="1"/>
  <c r="E21" i="1"/>
  <c r="K21" i="1"/>
  <c r="J21" i="1"/>
  <c r="I21" i="1"/>
  <c r="H21" i="1"/>
  <c r="G21" i="1"/>
  <c r="F21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<sst xmlns="http://schemas.openxmlformats.org/spreadsheetml/2006/main" count="229" uniqueCount="47">
  <si>
    <t>Таблица</t>
  </si>
  <si>
    <t>Год</t>
  </si>
  <si>
    <t>Пол</t>
  </si>
  <si>
    <t>Возраст</t>
  </si>
  <si>
    <t>Показатель</t>
  </si>
  <si>
    <t>Женщины</t>
  </si>
  <si>
    <t>Мужчины</t>
  </si>
  <si>
    <t>Страна</t>
  </si>
  <si>
    <t>Все возрасты</t>
  </si>
  <si>
    <t>0 – 4</t>
  </si>
  <si>
    <t>5 – 9</t>
  </si>
  <si>
    <t>10 – 14</t>
  </si>
  <si>
    <t>15 – 19</t>
  </si>
  <si>
    <t>20 – 24</t>
  </si>
  <si>
    <t>25 – 29</t>
  </si>
  <si>
    <t>30 – 34</t>
  </si>
  <si>
    <t>35 – 39</t>
  </si>
  <si>
    <t>40 – 44</t>
  </si>
  <si>
    <t>45 – 49</t>
  </si>
  <si>
    <t>50 – 54</t>
  </si>
  <si>
    <t>55 – 59</t>
  </si>
  <si>
    <t>60 – 64</t>
  </si>
  <si>
    <t>65 – 69</t>
  </si>
  <si>
    <t>70 – 74</t>
  </si>
  <si>
    <t>75 – 79</t>
  </si>
  <si>
    <t>80-84 лет</t>
  </si>
  <si>
    <t>85-89 лет</t>
  </si>
  <si>
    <t>90-94 лет</t>
  </si>
  <si>
    <t>95-99 лет</t>
  </si>
  <si>
    <t>100 и более</t>
  </si>
  <si>
    <t>Федеральный округ</t>
  </si>
  <si>
    <t>Численность населения, человек</t>
  </si>
  <si>
    <t>Доля отдельных поло-возрастных групп в общей численности населения, %</t>
  </si>
  <si>
    <t>Российская Федерация</t>
  </si>
  <si>
    <t>Центральный федеральный округ</t>
  </si>
  <si>
    <t>дети 0-9</t>
  </si>
  <si>
    <t>подростки 10-14</t>
  </si>
  <si>
    <t>подростки 15-19</t>
  </si>
  <si>
    <t>мужчины</t>
  </si>
  <si>
    <t>20-29</t>
  </si>
  <si>
    <t>30-39</t>
  </si>
  <si>
    <t>40-49</t>
  </si>
  <si>
    <t>50-59</t>
  </si>
  <si>
    <t>60-69</t>
  </si>
  <si>
    <t>70-79</t>
  </si>
  <si>
    <t>80 и старше</t>
  </si>
  <si>
    <t>женщины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</si>
</sst>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"/>
  </numFmts>
  <fonts count="4">
    <font>
      <sz val="11"/>
      <color rgb="FF000000"/>
      <name val="Calibri"/>
    </font>
    <font>
      <b/>
      <sz val="12"/>
      <color rgb="FF494949"/>
      <name val="Roboto"/>
    </font>
    <font>
      <b/>
      <sz val="8"/>
      <color rgb="FFFFFFFF"/>
      <name val="Roboto"/>
    </font>
    <font>
      <sz val="8"/>
      <color rgb="FF313034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0066CC"/>
        <bgColor auto="1"/>
      </patternFill>
    </fill>
    <fill>
      <patternFill patternType="solid">
        <fgColor rgb="FFFFFFFF"/>
        <bgColor auto="1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DBDBDB"/>
      </left>
      <right style="thin">
        <color rgb="FFDBDBDB"/>
      </right>
      <top style="thin">
        <color rgb="FFDBDBDB"/>
      </top>
      <bottom style="thin">
        <color rgb="FFDBDBDB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/>
      <diagonal/>
    </border>
    <border>
      <left style="thin">
        <color rgb="FFDBDBDB"/>
      </left>
      <right style="thin">
        <color rgb="FFE3E3E3"/>
      </right>
      <top style="thin">
        <color rgb="FFDBDBDB"/>
      </top>
      <bottom style="thin">
        <color rgb="FFDBDB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 indent="1"/>
    </xf>
    <xf numFmtId="0" fontId="3" fillId="4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4" fontId="3" fillId="2" borderId="2" xfId="0" applyNumberFormat="1" applyFont="1" applyFill="1" applyBorder="1" applyAlignment="1">
      <alignment horizontal="right" vertical="center" wrapText="1"/>
    </xf>
    <xf numFmtId="0" fontId="3" fillId="4" borderId="5" xfId="0" applyFont="1" applyFill="1" applyBorder="1" applyAlignment="1">
      <alignment vertical="center" wrapText="1" indent="1"/>
    </xf>
    <xf numFmtId="164" fontId="3" fillId="4" borderId="2" xfId="0" applyNumberFormat="1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24"/>
  <sheetViews>
    <sheetView tabSelected="1" topLeftCell="C1" workbookViewId="0">
      <selection activeCell="E20" sqref="E20:K21"/>
    </sheetView>
  </sheetViews>
  <sheetFormatPr defaultRowHeight="14.4"/>
  <cols>
    <col min="1" max="1" width="31.77734375" customWidth="1"/>
    <col min="2" max="111" width="18" customWidth="1"/>
  </cols>
  <sheetData>
    <row r="1" spans="1:111" ht="17.399999999999999" customHeight="1">
      <c r="A1" s="1" t="s">
        <v>0</v>
      </c>
    </row>
    <row r="2" spans="1:111" ht="16.2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111" ht="13.8" customHeight="1">
      <c r="B3" s="10">
        <v>2024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</row>
    <row r="4" spans="1:111" ht="13.8" customHeight="1">
      <c r="BP4" s="11" t="s">
        <v>6</v>
      </c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</row>
    <row r="5" spans="1:111" ht="16.2" customHeight="1">
      <c r="A5" s="4" t="s">
        <v>7</v>
      </c>
      <c r="B5" s="3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BP5" s="11" t="s">
        <v>8</v>
      </c>
      <c r="BQ5" s="11"/>
      <c r="BR5" s="11" t="s">
        <v>9</v>
      </c>
      <c r="BS5" s="11"/>
      <c r="BT5" s="11" t="s">
        <v>10</v>
      </c>
      <c r="BU5" s="11"/>
      <c r="BV5" s="11" t="s">
        <v>11</v>
      </c>
      <c r="BW5" s="11"/>
      <c r="BX5" s="11" t="s">
        <v>12</v>
      </c>
      <c r="BY5" s="11"/>
      <c r="BZ5" s="11" t="s">
        <v>13</v>
      </c>
      <c r="CA5" s="11"/>
      <c r="CB5" s="11" t="s">
        <v>14</v>
      </c>
      <c r="CC5" s="11"/>
      <c r="CD5" s="11" t="s">
        <v>15</v>
      </c>
      <c r="CE5" s="11"/>
      <c r="CF5" s="11" t="s">
        <v>16</v>
      </c>
      <c r="CG5" s="11"/>
      <c r="CH5" s="11" t="s">
        <v>17</v>
      </c>
      <c r="CI5" s="11"/>
      <c r="CJ5" s="11" t="s">
        <v>18</v>
      </c>
      <c r="CK5" s="11"/>
      <c r="CL5" s="11" t="s">
        <v>19</v>
      </c>
      <c r="CM5" s="11"/>
      <c r="CN5" s="11" t="s">
        <v>20</v>
      </c>
      <c r="CO5" s="11"/>
      <c r="CP5" s="11" t="s">
        <v>21</v>
      </c>
      <c r="CQ5" s="11"/>
      <c r="CR5" s="11" t="s">
        <v>22</v>
      </c>
      <c r="CS5" s="11"/>
      <c r="CT5" s="11" t="s">
        <v>23</v>
      </c>
      <c r="CU5" s="11"/>
      <c r="CV5" s="11" t="s">
        <v>24</v>
      </c>
      <c r="CW5" s="11"/>
      <c r="CX5" s="11" t="s">
        <v>25</v>
      </c>
      <c r="CY5" s="11"/>
      <c r="CZ5" s="11" t="s">
        <v>26</v>
      </c>
      <c r="DA5" s="11"/>
      <c r="DB5" s="11" t="s">
        <v>27</v>
      </c>
      <c r="DC5" s="11"/>
      <c r="DD5" s="11" t="s">
        <v>28</v>
      </c>
      <c r="DE5" s="11"/>
      <c r="DF5" s="11" t="s">
        <v>29</v>
      </c>
      <c r="DG5" s="11"/>
    </row>
    <row r="6" spans="1:111" ht="45" customHeight="1">
      <c r="A6" s="5" t="s">
        <v>30</v>
      </c>
      <c r="B6" s="3" t="s">
        <v>8</v>
      </c>
      <c r="C6" s="3"/>
      <c r="D6" s="3" t="s">
        <v>9</v>
      </c>
      <c r="E6" s="3"/>
      <c r="F6" s="3" t="s">
        <v>10</v>
      </c>
      <c r="G6" s="3"/>
      <c r="H6" s="3" t="s">
        <v>11</v>
      </c>
      <c r="I6" s="3"/>
      <c r="J6" s="3" t="s">
        <v>12</v>
      </c>
      <c r="K6" s="3"/>
      <c r="L6" s="3" t="s">
        <v>13</v>
      </c>
      <c r="M6" s="3"/>
      <c r="N6" s="3" t="s">
        <v>14</v>
      </c>
      <c r="O6" s="3"/>
      <c r="P6" s="3" t="s">
        <v>15</v>
      </c>
      <c r="Q6" s="3"/>
      <c r="R6" s="3" t="s">
        <v>16</v>
      </c>
      <c r="S6" s="3"/>
      <c r="T6" s="3" t="s">
        <v>17</v>
      </c>
      <c r="U6" s="3"/>
      <c r="V6" s="3" t="s">
        <v>18</v>
      </c>
      <c r="W6" s="3"/>
      <c r="X6" s="3" t="s">
        <v>19</v>
      </c>
      <c r="Y6" s="3"/>
      <c r="Z6" s="3" t="s">
        <v>20</v>
      </c>
      <c r="AA6" s="3"/>
      <c r="AB6" s="3" t="s">
        <v>21</v>
      </c>
      <c r="AC6" s="3"/>
      <c r="AD6" s="3" t="s">
        <v>22</v>
      </c>
      <c r="AE6" s="3"/>
      <c r="AF6" s="3" t="s">
        <v>23</v>
      </c>
      <c r="AG6" s="3"/>
      <c r="AH6" s="3" t="s">
        <v>24</v>
      </c>
      <c r="AI6" s="3"/>
      <c r="AJ6" s="3" t="s">
        <v>25</v>
      </c>
      <c r="AK6" s="3"/>
      <c r="AL6" s="3" t="s">
        <v>26</v>
      </c>
      <c r="AM6" s="3"/>
      <c r="AN6" s="3" t="s">
        <v>27</v>
      </c>
      <c r="AO6" s="3"/>
      <c r="AP6" s="3" t="s">
        <v>28</v>
      </c>
      <c r="AQ6" s="3"/>
      <c r="AR6" s="3" t="s">
        <v>29</v>
      </c>
      <c r="AS6" s="3"/>
      <c r="BP6" s="6" t="s">
        <v>32</v>
      </c>
      <c r="BQ6" s="6" t="s">
        <v>31</v>
      </c>
      <c r="BR6" s="6" t="s">
        <v>32</v>
      </c>
      <c r="BS6" s="6" t="s">
        <v>31</v>
      </c>
      <c r="BT6" s="6" t="s">
        <v>32</v>
      </c>
      <c r="BU6" s="6" t="s">
        <v>31</v>
      </c>
      <c r="BV6" s="6" t="s">
        <v>32</v>
      </c>
      <c r="BW6" s="6" t="s">
        <v>31</v>
      </c>
      <c r="BX6" s="6" t="s">
        <v>32</v>
      </c>
      <c r="BY6" s="6" t="s">
        <v>31</v>
      </c>
      <c r="BZ6" s="6" t="s">
        <v>32</v>
      </c>
      <c r="CA6" s="6" t="s">
        <v>31</v>
      </c>
      <c r="CB6" s="6" t="s">
        <v>32</v>
      </c>
      <c r="CC6" s="6" t="s">
        <v>31</v>
      </c>
      <c r="CD6" s="6" t="s">
        <v>32</v>
      </c>
      <c r="CE6" s="6" t="s">
        <v>31</v>
      </c>
      <c r="CF6" s="6" t="s">
        <v>32</v>
      </c>
      <c r="CG6" s="6" t="s">
        <v>31</v>
      </c>
      <c r="CH6" s="6" t="s">
        <v>32</v>
      </c>
      <c r="CI6" s="6" t="s">
        <v>31</v>
      </c>
      <c r="CJ6" s="6" t="s">
        <v>32</v>
      </c>
      <c r="CK6" s="6" t="s">
        <v>31</v>
      </c>
      <c r="CL6" s="6" t="s">
        <v>32</v>
      </c>
      <c r="CM6" s="6" t="s">
        <v>31</v>
      </c>
      <c r="CN6" s="6" t="s">
        <v>32</v>
      </c>
      <c r="CO6" s="6" t="s">
        <v>31</v>
      </c>
      <c r="CP6" s="6" t="s">
        <v>32</v>
      </c>
      <c r="CQ6" s="6" t="s">
        <v>31</v>
      </c>
      <c r="CR6" s="6" t="s">
        <v>32</v>
      </c>
      <c r="CS6" s="6" t="s">
        <v>31</v>
      </c>
      <c r="CT6" s="6" t="s">
        <v>32</v>
      </c>
      <c r="CU6" s="6" t="s">
        <v>31</v>
      </c>
      <c r="CV6" s="6" t="s">
        <v>32</v>
      </c>
      <c r="CW6" s="6" t="s">
        <v>31</v>
      </c>
      <c r="CX6" s="6" t="s">
        <v>32</v>
      </c>
      <c r="CY6" s="6" t="s">
        <v>31</v>
      </c>
      <c r="CZ6" s="6" t="s">
        <v>32</v>
      </c>
      <c r="DA6" s="6" t="s">
        <v>31</v>
      </c>
      <c r="DB6" s="6" t="s">
        <v>32</v>
      </c>
      <c r="DC6" s="6" t="s">
        <v>31</v>
      </c>
      <c r="DD6" s="6" t="s">
        <v>32</v>
      </c>
      <c r="DE6" s="6" t="s">
        <v>31</v>
      </c>
      <c r="DF6" s="6" t="s">
        <v>32</v>
      </c>
      <c r="DG6" s="6" t="s">
        <v>31</v>
      </c>
    </row>
    <row r="7" spans="1:111" ht="18" customHeight="1">
      <c r="A7" s="7" t="s">
        <v>33</v>
      </c>
      <c r="B7" s="6" t="s">
        <v>32</v>
      </c>
      <c r="C7" s="6" t="s">
        <v>31</v>
      </c>
      <c r="D7" s="6" t="s">
        <v>32</v>
      </c>
      <c r="E7" s="6" t="s">
        <v>31</v>
      </c>
      <c r="F7" s="6" t="s">
        <v>32</v>
      </c>
      <c r="G7" s="6" t="s">
        <v>31</v>
      </c>
      <c r="H7" s="6" t="s">
        <v>32</v>
      </c>
      <c r="I7" s="6" t="s">
        <v>31</v>
      </c>
      <c r="J7" s="6" t="s">
        <v>32</v>
      </c>
      <c r="K7" s="6" t="s">
        <v>31</v>
      </c>
      <c r="L7" s="6" t="s">
        <v>32</v>
      </c>
      <c r="M7" s="6" t="s">
        <v>31</v>
      </c>
      <c r="N7" s="6" t="s">
        <v>32</v>
      </c>
      <c r="O7" s="6" t="s">
        <v>31</v>
      </c>
      <c r="P7" s="6" t="s">
        <v>32</v>
      </c>
      <c r="Q7" s="6" t="s">
        <v>31</v>
      </c>
      <c r="R7" s="6" t="s">
        <v>32</v>
      </c>
      <c r="S7" s="6" t="s">
        <v>31</v>
      </c>
      <c r="T7" s="6" t="s">
        <v>32</v>
      </c>
      <c r="U7" s="6" t="s">
        <v>31</v>
      </c>
      <c r="V7" s="6" t="s">
        <v>32</v>
      </c>
      <c r="W7" s="6" t="s">
        <v>31</v>
      </c>
      <c r="X7" s="6" t="s">
        <v>32</v>
      </c>
      <c r="Y7" s="6" t="s">
        <v>31</v>
      </c>
      <c r="Z7" s="6" t="s">
        <v>32</v>
      </c>
      <c r="AA7" s="6" t="s">
        <v>31</v>
      </c>
      <c r="AB7" s="6" t="s">
        <v>32</v>
      </c>
      <c r="AC7" s="6" t="s">
        <v>31</v>
      </c>
      <c r="AD7" s="6" t="s">
        <v>32</v>
      </c>
      <c r="AE7" s="6" t="s">
        <v>31</v>
      </c>
      <c r="AF7" s="6" t="s">
        <v>32</v>
      </c>
      <c r="AG7" s="6" t="s">
        <v>31</v>
      </c>
      <c r="AH7" s="6" t="s">
        <v>32</v>
      </c>
      <c r="AI7" s="6" t="s">
        <v>31</v>
      </c>
      <c r="AJ7" s="6" t="s">
        <v>32</v>
      </c>
      <c r="AK7" s="6" t="s">
        <v>31</v>
      </c>
      <c r="AL7" s="6" t="s">
        <v>32</v>
      </c>
      <c r="AM7" s="6" t="s">
        <v>31</v>
      </c>
      <c r="AN7" s="6" t="s">
        <v>32</v>
      </c>
      <c r="AO7" s="6" t="s">
        <v>31</v>
      </c>
      <c r="AP7" s="6" t="s">
        <v>32</v>
      </c>
      <c r="AQ7" s="6" t="s">
        <v>31</v>
      </c>
      <c r="AR7" s="6" t="s">
        <v>32</v>
      </c>
      <c r="AS7" s="6" t="s">
        <v>31</v>
      </c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</row>
    <row r="8" spans="1:111" ht="23.4" customHeight="1">
      <c r="A8" s="9" t="s">
        <v>34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BP8" s="8">
        <v>46.32</v>
      </c>
      <c r="BQ8" s="8">
        <v>18618593</v>
      </c>
      <c r="BR8" s="8">
        <v>2.2400000000000002</v>
      </c>
      <c r="BS8" s="8">
        <v>900391</v>
      </c>
      <c r="BT8" s="8">
        <v>2.92</v>
      </c>
      <c r="BU8" s="8">
        <v>1173726</v>
      </c>
      <c r="BV8" s="8">
        <v>2.87</v>
      </c>
      <c r="BW8" s="8">
        <v>1152752</v>
      </c>
      <c r="BX8" s="8">
        <v>2.44</v>
      </c>
      <c r="BY8" s="8">
        <v>982297</v>
      </c>
      <c r="BZ8" s="8">
        <v>2.54</v>
      </c>
      <c r="CA8" s="8">
        <v>1021524</v>
      </c>
      <c r="CB8" s="8">
        <v>2.5</v>
      </c>
      <c r="CC8" s="8">
        <v>1004873</v>
      </c>
      <c r="CD8" s="8">
        <v>3.35</v>
      </c>
      <c r="CE8" s="8">
        <v>1347233</v>
      </c>
      <c r="CF8" s="8">
        <v>4.32</v>
      </c>
      <c r="CG8" s="8">
        <v>1736395</v>
      </c>
      <c r="CH8" s="8">
        <v>4</v>
      </c>
      <c r="CI8" s="8">
        <v>1607772</v>
      </c>
      <c r="CJ8" s="8">
        <v>3.53</v>
      </c>
      <c r="CK8" s="8">
        <v>1418780</v>
      </c>
      <c r="CL8" s="8">
        <v>3.14</v>
      </c>
      <c r="CM8" s="8">
        <v>1262001</v>
      </c>
      <c r="CN8" s="8">
        <v>2.78</v>
      </c>
      <c r="CO8" s="8">
        <v>1118355</v>
      </c>
      <c r="CP8" s="8">
        <v>3.04</v>
      </c>
      <c r="CQ8" s="8">
        <v>1222334</v>
      </c>
      <c r="CR8" s="8">
        <v>2.69</v>
      </c>
      <c r="CS8" s="8">
        <v>1079363</v>
      </c>
      <c r="CT8" s="8">
        <v>1.92</v>
      </c>
      <c r="CU8" s="8">
        <v>770639</v>
      </c>
      <c r="CV8" s="8">
        <v>1.02</v>
      </c>
      <c r="CW8" s="8">
        <v>408139</v>
      </c>
      <c r="CX8" s="8">
        <v>0.56000000000000005</v>
      </c>
      <c r="CY8" s="8">
        <v>224525</v>
      </c>
      <c r="CZ8" s="8">
        <v>0.34</v>
      </c>
      <c r="DA8" s="8">
        <v>138558</v>
      </c>
      <c r="DB8" s="8">
        <v>0.1</v>
      </c>
      <c r="DC8" s="8">
        <v>38281</v>
      </c>
      <c r="DD8" s="8">
        <v>0.02</v>
      </c>
      <c r="DE8" s="8">
        <v>9193</v>
      </c>
      <c r="DF8" s="8">
        <v>0</v>
      </c>
      <c r="DG8" s="8">
        <v>1462</v>
      </c>
    </row>
    <row r="9" spans="1:111">
      <c r="B9" s="8">
        <v>53.68</v>
      </c>
      <c r="C9" s="8">
        <v>21580066</v>
      </c>
      <c r="D9" s="8">
        <v>2.1</v>
      </c>
      <c r="E9" s="8">
        <v>842472</v>
      </c>
      <c r="F9" s="8">
        <v>2.72</v>
      </c>
      <c r="G9" s="8">
        <v>1092754</v>
      </c>
      <c r="H9" s="8">
        <v>2.68</v>
      </c>
      <c r="I9" s="8">
        <v>1076816</v>
      </c>
      <c r="J9" s="8">
        <v>2.31</v>
      </c>
      <c r="K9" s="8">
        <v>927194</v>
      </c>
      <c r="L9" s="8">
        <v>2.3199999999999998</v>
      </c>
      <c r="M9" s="8">
        <v>933422</v>
      </c>
      <c r="N9" s="8">
        <v>2.41</v>
      </c>
      <c r="O9" s="8">
        <v>969921</v>
      </c>
      <c r="P9" s="8">
        <v>3.4</v>
      </c>
      <c r="Q9" s="8">
        <v>1367271</v>
      </c>
      <c r="R9" s="8">
        <v>4.5</v>
      </c>
      <c r="S9" s="8">
        <v>1808385</v>
      </c>
      <c r="T9" s="8">
        <v>4.24</v>
      </c>
      <c r="U9" s="8">
        <v>1704499</v>
      </c>
      <c r="V9" s="8">
        <v>3.84</v>
      </c>
      <c r="W9" s="8">
        <v>1545045</v>
      </c>
      <c r="X9" s="8">
        <v>3.49</v>
      </c>
      <c r="Y9" s="8">
        <v>1404743</v>
      </c>
      <c r="Z9" s="8">
        <v>3.36</v>
      </c>
      <c r="AA9" s="8">
        <v>1350637</v>
      </c>
      <c r="AB9" s="8">
        <v>4.1500000000000004</v>
      </c>
      <c r="AC9" s="8">
        <v>1666967</v>
      </c>
      <c r="AD9" s="8">
        <v>4.01</v>
      </c>
      <c r="AE9" s="8">
        <v>1611451</v>
      </c>
      <c r="AF9" s="8">
        <v>3.31</v>
      </c>
      <c r="AG9" s="8">
        <v>1330399</v>
      </c>
      <c r="AH9" s="8">
        <v>1.96</v>
      </c>
      <c r="AI9" s="8">
        <v>788536</v>
      </c>
      <c r="AJ9" s="8">
        <v>1.45</v>
      </c>
      <c r="AK9" s="8">
        <v>581667</v>
      </c>
      <c r="AL9" s="8">
        <v>1.03</v>
      </c>
      <c r="AM9" s="8">
        <v>414657</v>
      </c>
      <c r="AN9" s="8">
        <v>0.32</v>
      </c>
      <c r="AO9" s="8">
        <v>128136</v>
      </c>
      <c r="AP9" s="8">
        <v>0.08</v>
      </c>
      <c r="AQ9" s="8">
        <v>31264</v>
      </c>
      <c r="AR9" s="8">
        <v>0.01</v>
      </c>
      <c r="AS9" s="8">
        <v>3830</v>
      </c>
    </row>
    <row r="11" spans="1:111">
      <c r="B11" s="3" t="s">
        <v>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111">
      <c r="B12" s="11" t="s">
        <v>8</v>
      </c>
      <c r="C12" s="11"/>
      <c r="D12" s="11" t="s">
        <v>9</v>
      </c>
      <c r="E12" s="11"/>
      <c r="F12" s="11" t="s">
        <v>10</v>
      </c>
      <c r="G12" s="11"/>
      <c r="H12" s="11" t="s">
        <v>11</v>
      </c>
      <c r="I12" s="11"/>
      <c r="J12" s="11" t="s">
        <v>12</v>
      </c>
      <c r="K12" s="11"/>
      <c r="L12" s="11" t="s">
        <v>13</v>
      </c>
      <c r="M12" s="11"/>
      <c r="N12" s="11" t="s">
        <v>14</v>
      </c>
      <c r="O12" s="11"/>
      <c r="P12" s="11" t="s">
        <v>15</v>
      </c>
      <c r="Q12" s="11"/>
      <c r="R12" s="11" t="s">
        <v>16</v>
      </c>
      <c r="S12" s="11"/>
      <c r="T12" s="11" t="s">
        <v>17</v>
      </c>
      <c r="U12" s="11"/>
      <c r="V12" s="11" t="s">
        <v>18</v>
      </c>
      <c r="W12" s="11"/>
      <c r="X12" s="11" t="s">
        <v>19</v>
      </c>
      <c r="Y12" s="11"/>
      <c r="Z12" s="11" t="s">
        <v>20</v>
      </c>
      <c r="AA12" s="11"/>
      <c r="AB12" s="11" t="s">
        <v>21</v>
      </c>
      <c r="AC12" s="11"/>
      <c r="AD12" s="11" t="s">
        <v>22</v>
      </c>
      <c r="AE12" s="11"/>
      <c r="AF12" s="11" t="s">
        <v>23</v>
      </c>
      <c r="AG12" s="11"/>
      <c r="AH12" s="11" t="s">
        <v>24</v>
      </c>
      <c r="AI12" s="11"/>
      <c r="AJ12" s="11" t="s">
        <v>25</v>
      </c>
      <c r="AK12" s="11"/>
      <c r="AL12" s="11" t="s">
        <v>26</v>
      </c>
      <c r="AM12" s="11"/>
      <c r="AN12" s="11" t="s">
        <v>27</v>
      </c>
      <c r="AO12" s="11"/>
      <c r="AP12" s="11" t="s">
        <v>28</v>
      </c>
      <c r="AQ12" s="11"/>
      <c r="AR12" s="11" t="s">
        <v>29</v>
      </c>
      <c r="AS12" s="11"/>
    </row>
    <row r="13" spans="1:111" ht="40.799999999999997">
      <c r="B13" s="6" t="s">
        <v>32</v>
      </c>
      <c r="C13" s="6" t="s">
        <v>31</v>
      </c>
      <c r="D13" s="6" t="s">
        <v>32</v>
      </c>
      <c r="E13" s="6" t="s">
        <v>31</v>
      </c>
      <c r="F13" s="6" t="s">
        <v>32</v>
      </c>
      <c r="G13" s="6" t="s">
        <v>31</v>
      </c>
      <c r="H13" s="6" t="s">
        <v>32</v>
      </c>
      <c r="I13" s="6" t="s">
        <v>31</v>
      </c>
      <c r="J13" s="6" t="s">
        <v>32</v>
      </c>
      <c r="K13" s="6" t="s">
        <v>31</v>
      </c>
      <c r="L13" s="6" t="s">
        <v>32</v>
      </c>
      <c r="M13" s="6" t="s">
        <v>31</v>
      </c>
      <c r="N13" s="6" t="s">
        <v>32</v>
      </c>
      <c r="O13" s="6" t="s">
        <v>31</v>
      </c>
      <c r="P13" s="6" t="s">
        <v>32</v>
      </c>
      <c r="Q13" s="6" t="s">
        <v>31</v>
      </c>
      <c r="R13" s="6" t="s">
        <v>32</v>
      </c>
      <c r="S13" s="6" t="s">
        <v>31</v>
      </c>
      <c r="T13" s="6" t="s">
        <v>32</v>
      </c>
      <c r="U13" s="6" t="s">
        <v>31</v>
      </c>
      <c r="V13" s="6" t="s">
        <v>32</v>
      </c>
      <c r="W13" s="6" t="s">
        <v>31</v>
      </c>
      <c r="X13" s="6" t="s">
        <v>32</v>
      </c>
      <c r="Y13" s="6" t="s">
        <v>31</v>
      </c>
      <c r="Z13" s="6" t="s">
        <v>32</v>
      </c>
      <c r="AA13" s="6" t="s">
        <v>31</v>
      </c>
      <c r="AB13" s="6" t="s">
        <v>32</v>
      </c>
      <c r="AC13" s="6" t="s">
        <v>31</v>
      </c>
      <c r="AD13" s="6" t="s">
        <v>32</v>
      </c>
      <c r="AE13" s="6" t="s">
        <v>31</v>
      </c>
      <c r="AF13" s="6" t="s">
        <v>32</v>
      </c>
      <c r="AG13" s="6" t="s">
        <v>31</v>
      </c>
      <c r="AH13" s="6" t="s">
        <v>32</v>
      </c>
      <c r="AI13" s="6" t="s">
        <v>31</v>
      </c>
      <c r="AJ13" s="6" t="s">
        <v>32</v>
      </c>
      <c r="AK13" s="6" t="s">
        <v>31</v>
      </c>
      <c r="AL13" s="6" t="s">
        <v>32</v>
      </c>
      <c r="AM13" s="6" t="s">
        <v>31</v>
      </c>
      <c r="AN13" s="6" t="s">
        <v>32</v>
      </c>
      <c r="AO13" s="6" t="s">
        <v>31</v>
      </c>
      <c r="AP13" s="6" t="s">
        <v>32</v>
      </c>
      <c r="AQ13" s="6" t="s">
        <v>31</v>
      </c>
      <c r="AR13" s="6" t="s">
        <v>32</v>
      </c>
      <c r="AS13" s="6" t="s">
        <v>31</v>
      </c>
    </row>
    <row r="14" spans="1:111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</row>
    <row r="15" spans="1:111">
      <c r="B15" s="8">
        <v>46.32</v>
      </c>
      <c r="C15" s="8">
        <v>18618593</v>
      </c>
      <c r="D15" s="8">
        <v>2.2400000000000002</v>
      </c>
      <c r="E15" s="8">
        <v>900391</v>
      </c>
      <c r="F15" s="8">
        <v>2.92</v>
      </c>
      <c r="G15" s="8">
        <v>1173726</v>
      </c>
      <c r="H15" s="8">
        <v>2.87</v>
      </c>
      <c r="I15" s="8">
        <v>1152752</v>
      </c>
      <c r="J15" s="8">
        <v>2.44</v>
      </c>
      <c r="K15" s="8">
        <v>982297</v>
      </c>
      <c r="L15" s="8">
        <v>2.54</v>
      </c>
      <c r="M15" s="8">
        <v>1021524</v>
      </c>
      <c r="N15" s="8">
        <v>2.5</v>
      </c>
      <c r="O15" s="8">
        <v>1004873</v>
      </c>
      <c r="P15" s="8">
        <v>3.35</v>
      </c>
      <c r="Q15" s="8">
        <v>1347233</v>
      </c>
      <c r="R15" s="8">
        <v>4.32</v>
      </c>
      <c r="S15" s="8">
        <v>1736395</v>
      </c>
      <c r="T15" s="8">
        <v>4</v>
      </c>
      <c r="U15" s="8">
        <v>1607772</v>
      </c>
      <c r="V15" s="8">
        <v>3.53</v>
      </c>
      <c r="W15" s="8">
        <v>1418780</v>
      </c>
      <c r="X15" s="8">
        <v>3.14</v>
      </c>
      <c r="Y15" s="8">
        <v>1262001</v>
      </c>
      <c r="Z15" s="8">
        <v>2.78</v>
      </c>
      <c r="AA15" s="8">
        <v>1118355</v>
      </c>
      <c r="AB15" s="8">
        <v>3.04</v>
      </c>
      <c r="AC15" s="8">
        <v>1222334</v>
      </c>
      <c r="AD15" s="8">
        <v>2.69</v>
      </c>
      <c r="AE15" s="8">
        <v>1079363</v>
      </c>
      <c r="AF15" s="8">
        <v>1.92</v>
      </c>
      <c r="AG15" s="8">
        <v>770639</v>
      </c>
      <c r="AH15" s="8">
        <v>1.02</v>
      </c>
      <c r="AI15" s="8">
        <v>408139</v>
      </c>
      <c r="AJ15" s="8">
        <v>0.56000000000000005</v>
      </c>
      <c r="AK15" s="8">
        <v>224525</v>
      </c>
      <c r="AL15" s="8">
        <v>0.34</v>
      </c>
      <c r="AM15" s="8">
        <v>138558</v>
      </c>
      <c r="AN15" s="8">
        <v>0.1</v>
      </c>
      <c r="AO15" s="8">
        <v>38281</v>
      </c>
      <c r="AP15" s="8">
        <v>0.02</v>
      </c>
      <c r="AQ15" s="8">
        <v>9193</v>
      </c>
      <c r="AR15" s="8">
        <v>0</v>
      </c>
      <c r="AS15" s="8">
        <v>1462</v>
      </c>
    </row>
    <row r="16" spans="1:111">
      <c r="E16" t="s">
        <v>38</v>
      </c>
    </row>
    <row r="17" spans="2:11">
      <c r="B17" t="s">
        <v>35</v>
      </c>
      <c r="C17" t="s">
        <v>36</v>
      </c>
      <c r="D17" t="s">
        <v>37</v>
      </c>
      <c r="E17" t="s">
        <v>39</v>
      </c>
      <c r="F17" t="s">
        <v>40</v>
      </c>
      <c r="G17" t="s">
        <v>41</v>
      </c>
      <c r="H17" t="s">
        <v>42</v>
      </c>
      <c r="I17" t="s">
        <v>43</v>
      </c>
      <c r="J17" t="s">
        <v>44</v>
      </c>
      <c r="K17" t="s">
        <v>45</v>
      </c>
    </row>
    <row r="18" spans="2:11">
      <c r="B18" s="12">
        <f>D9+F9+D15+F15</f>
        <v>9.98</v>
      </c>
      <c r="C18" s="12">
        <f>H9+H15</f>
        <v>5.5500000000000007</v>
      </c>
      <c r="D18" s="12">
        <f>J9+J15</f>
        <v>4.75</v>
      </c>
      <c r="E18" s="12">
        <f>L9+N9</f>
        <v>4.7300000000000004</v>
      </c>
      <c r="F18" s="12">
        <f>P9+R9</f>
        <v>7.9</v>
      </c>
      <c r="G18" s="12">
        <f>T9+V9</f>
        <v>8.08</v>
      </c>
      <c r="H18" s="12">
        <f>X9+Z9</f>
        <v>6.85</v>
      </c>
      <c r="I18" s="12">
        <f>AB9+AD9</f>
        <v>8.16</v>
      </c>
      <c r="J18" s="12">
        <f>AF9+AH9</f>
        <v>5.27</v>
      </c>
      <c r="K18" s="12">
        <f>AJ9+AL9+AN9+AP9+AR9</f>
        <v>2.8899999999999997</v>
      </c>
    </row>
    <row r="19" spans="2:11">
      <c r="E19" t="s">
        <v>46</v>
      </c>
    </row>
    <row r="20" spans="2:11">
      <c r="E20" t="s">
        <v>39</v>
      </c>
      <c r="F20" t="s">
        <v>40</v>
      </c>
      <c r="G20" t="s">
        <v>41</v>
      </c>
      <c r="H20" t="s">
        <v>42</v>
      </c>
      <c r="I20" t="s">
        <v>43</v>
      </c>
      <c r="J20" t="s">
        <v>44</v>
      </c>
      <c r="K20" t="s">
        <v>45</v>
      </c>
    </row>
    <row r="21" spans="2:11">
      <c r="E21" s="12">
        <f>L15+N15</f>
        <v>5.04</v>
      </c>
      <c r="F21" s="12">
        <f>P15+R15</f>
        <v>7.67</v>
      </c>
      <c r="G21" s="12">
        <f>T15+V15</f>
        <v>7.5299999999999994</v>
      </c>
      <c r="H21" s="12">
        <f>X15+Z15</f>
        <v>5.92</v>
      </c>
      <c r="I21" s="12">
        <f>AB15+AD15</f>
        <v>5.73</v>
      </c>
      <c r="J21" s="12">
        <f>AF15+AH15</f>
        <v>2.94</v>
      </c>
      <c r="K21" s="12">
        <f>AJ15+AL15+AN15+AP15+AR15</f>
        <v>1.0200000000000002</v>
      </c>
    </row>
    <row r="24" spans="2:11">
      <c r="C24" s="12">
        <f>SUM(B18:K18)+SUM(E21:K21)</f>
        <v>100.01</v>
      </c>
    </row>
  </sheetData>
  <mergeCells count="46">
    <mergeCell ref="AL12:AM12"/>
    <mergeCell ref="AN12:AO12"/>
    <mergeCell ref="AP12:AQ12"/>
    <mergeCell ref="AR12:AS12"/>
    <mergeCell ref="AB12:AC12"/>
    <mergeCell ref="AD12:AE12"/>
    <mergeCell ref="AF12:AG12"/>
    <mergeCell ref="AH12:AI12"/>
    <mergeCell ref="AJ12:AK12"/>
    <mergeCell ref="DD5:DE5"/>
    <mergeCell ref="DF5:DG5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CT5:CU5"/>
    <mergeCell ref="CV5:CW5"/>
    <mergeCell ref="CX5:CY5"/>
    <mergeCell ref="CZ5:DA5"/>
    <mergeCell ref="DB5:DC5"/>
    <mergeCell ref="CJ5:CK5"/>
    <mergeCell ref="CL5:CM5"/>
    <mergeCell ref="CN5:CO5"/>
    <mergeCell ref="CP5:CQ5"/>
    <mergeCell ref="CR5:CS5"/>
    <mergeCell ref="BZ5:CA5"/>
    <mergeCell ref="CB5:CC5"/>
    <mergeCell ref="CD5:CE5"/>
    <mergeCell ref="CF5:CG5"/>
    <mergeCell ref="CH5:CI5"/>
    <mergeCell ref="BP5:BQ5"/>
    <mergeCell ref="BR5:BS5"/>
    <mergeCell ref="BT5:BU5"/>
    <mergeCell ref="BV5:BW5"/>
    <mergeCell ref="BX5:BY5"/>
    <mergeCell ref="B3:DG3"/>
    <mergeCell ref="BP4:D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Contour OLAP Server 6.2.0.1054</dc:creator>
  <cp:lastModifiedBy>user</cp:lastModifiedBy>
  <dcterms:created xsi:type="dcterms:W3CDTF">2025-05-14T15:50:46Z</dcterms:created>
  <dcterms:modified xsi:type="dcterms:W3CDTF">2025-05-16T06:29:24Z</dcterms:modified>
</cp:coreProperties>
</file>